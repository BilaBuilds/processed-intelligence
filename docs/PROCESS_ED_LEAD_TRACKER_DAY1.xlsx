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Tracker" sheetId="1" state="visible" r:id="rId3"/>
    <sheet name="Day 1 Messages" sheetId="2" state="visible" r:id="rId4"/>
    <sheet name="KPI Score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<sst xmlns="http://schemas.openxmlformats.org/spreadsheetml/2006/main" count="106" uniqueCount="91">
  <si>
    <t xml:space="preserve">ProcessEd — Groundworks Lead Tracker  |  Day 1 Sprint</t>
  </si>
  <si>
    <t xml:space="preserve">Priority: A = 70+  |  B = 55–69  |  C = &lt;55  |  Message A and B today only  |  Score = Trade(30) + Region(20) + Value(20) + Maturity(15) + Urgency(15)</t>
  </si>
  <si>
    <t xml:space="preserve">Lead
ID</t>
  </si>
  <si>
    <t xml:space="preserve">Company Name</t>
  </si>
  <si>
    <t xml:space="preserve">Contact Name</t>
  </si>
  <si>
    <t xml:space="preserve">Role</t>
  </si>
  <si>
    <t xml:space="preserve">LinkedIn / Email</t>
  </si>
  <si>
    <t xml:space="preserve">Trade Focus</t>
  </si>
  <si>
    <t xml:space="preserve">Region</t>
  </si>
  <si>
    <t xml:space="preserve">Recent Contract</t>
  </si>
  <si>
    <t xml:space="preserve">Buyer</t>
  </si>
  <si>
    <t xml:space="preserve">Value (£)</t>
  </si>
  <si>
    <t xml:space="preserve">Fit: Trade
/30</t>
  </si>
  <si>
    <t xml:space="preserve">Fit: Region
/20</t>
  </si>
  <si>
    <t xml:space="preserve">Fit: Value
/20</t>
  </si>
  <si>
    <t xml:space="preserve">Fit: Maturity
/15</t>
  </si>
  <si>
    <t xml:space="preserve">Fit: Urgency
/15</t>
  </si>
  <si>
    <t xml:space="preserve">Total Score
/100</t>
  </si>
  <si>
    <t xml:space="preserve">Priority
Tier</t>
  </si>
  <si>
    <t xml:space="preserve">Day Stage</t>
  </si>
  <si>
    <t xml:space="preserve">Response
Status</t>
  </si>
  <si>
    <t xml:space="preserve">Notes</t>
  </si>
  <si>
    <t xml:space="preserve">TBC — Cambourne Winner</t>
  </si>
  <si>
    <t xml:space="preserve">TBC</t>
  </si>
  <si>
    <t xml:space="preserve">MD / Estimator</t>
  </si>
  <si>
    <t xml:space="preserve">Find on LinkedIn</t>
  </si>
  <si>
    <t xml:space="preserve">Groundworks</t>
  </si>
  <si>
    <t xml:space="preserve">East of England</t>
  </si>
  <si>
    <t xml:space="preserve">Groundworks - Modular Building Install, Cambourne</t>
  </si>
  <si>
    <t xml:space="preserve">Cambourne Town Council</t>
  </si>
  <si>
    <t xml:space="preserve">£50k–£75k</t>
  </si>
  <si>
    <t xml:space="preserve">D1</t>
  </si>
  <si>
    <t xml:space="preserve">None</t>
  </si>
  <si>
    <t xml:space="preserve">Source: Contracts Finder, Apr 2026</t>
  </si>
  <si>
    <t xml:space="preserve">TBC — Amey Subcontractor</t>
  </si>
  <si>
    <t xml:space="preserve">Pre-Construction Mgr</t>
  </si>
  <si>
    <t xml:space="preserve">Demolition / Groundworks</t>
  </si>
  <si>
    <t xml:space="preserve">Demolition - Wyton Property FY2026/27</t>
  </si>
  <si>
    <t xml:space="preserve">Amey Defence Services</t>
  </si>
  <si>
    <t xml:space="preserve">£113k–£348k</t>
  </si>
  <si>
    <t xml:space="preserve">TBC — Botley Groundworks Co.</t>
  </si>
  <si>
    <t xml:space="preserve">Director / Estimator</t>
  </si>
  <si>
    <t xml:space="preserve">Groundworks / Surfacing</t>
  </si>
  <si>
    <t xml:space="preserve">South East England</t>
  </si>
  <si>
    <t xml:space="preserve">Play Area Groundworks &amp; Surfacing, Botley</t>
  </si>
  <si>
    <t xml:space="preserve">Botley Parish Council</t>
  </si>
  <si>
    <t xml:space="preserve">£155k</t>
  </si>
  <si>
    <t xml:space="preserve">Message Type</t>
  </si>
  <si>
    <t xml:space="preserve">Copy (personalise [FirstName] and [Region])</t>
  </si>
  <si>
    <t xml:space="preserve">SOFT</t>
  </si>
  <si>
    <t xml:space="preserve">Hi [FirstName], quick one.
I run ProcessEd, a tender intelligence feed for groundworks firms in [Region].
We send live opportunities already filtered with BID/REVIEW/NO-BID notes so teams avoid low-fit bids.
I'm opening a 7-day pilot this week. Want me to send a sample shortlist for your area?
If not relevant, reply STOP and I'll close the loop.</t>
  </si>
  <si>
    <t xml:space="preserve">DIRECT</t>
  </si>
  <si>
    <t xml:space="preserve">Hi [FirstName],
We help groundworks contractors cut bid waste by pre-qualifying public tenders before your team reviews them.
Offer: 7-day pilot with 5 high-fit live opportunities and clear BID/REVIEW/NO-BID decisions.
If useful, I can send 2 sample matches for [Region] today.
Interested?
If not relevant, reply STOP.</t>
  </si>
  <si>
    <t xml:space="preserve">ASSERTIVE</t>
  </si>
  <si>
    <t xml:space="preserve">Hi [FirstName],
You're likely seeing too many low-fit opportunities. ProcessEd fixes that for groundworks teams — ranked, decision-ready tenders with confidence scores and risk flags.
7-day pilot: 5 live matches, BID/REVIEW/NO-BID, deadline clarity.
Should I reserve a pilot slot for [Company] this week?
If not relevant, reply STOP.</t>
  </si>
  <si>
    <t xml:space="preserve">POSITIVE REPLY</t>
  </si>
  <si>
    <t xml:space="preserve">Great — I can set this up quickly.
Send me your trade focus, regions you work in, and ideal contract value range.
I'll return your first sample shortlist within 24 hours.</t>
  </si>
  <si>
    <t xml:space="preserve">BUSY / NOT NOW</t>
  </si>
  <si>
    <t xml:space="preserve">Understood — that's exactly why this helps.
We pre-qualify tenders before your team reviews them, so you only see what's worth pursuing.
Want a no-pressure 7-day pilot? No commitment.</t>
  </si>
  <si>
    <t xml:space="preserve">NOT RELEVANT</t>
  </si>
  <si>
    <t xml:space="preserve">Understood, thanks. I'll close the loop now.</t>
  </si>
  <si>
    <t xml:space="preserve">ProcessEd — Week 1 KPI Scoreboard</t>
  </si>
  <si>
    <t xml:space="preserve">Metric</t>
  </si>
  <si>
    <t xml:space="preserve">Target</t>
  </si>
  <si>
    <t xml:space="preserve">Actual</t>
  </si>
  <si>
    <t xml:space="preserve">Status</t>
  </si>
  <si>
    <t xml:space="preserve">Leads built</t>
  </si>
  <si>
    <t xml:space="preserve">10</t>
  </si>
  <si>
    <t xml:space="preserve">From Contracts Finder awarded search</t>
  </si>
  <si>
    <t xml:space="preserve">Outreach sent (Day 1)</t>
  </si>
  <si>
    <t xml:space="preserve">A and B tier only</t>
  </si>
  <si>
    <t xml:space="preserve">Replies received</t>
  </si>
  <si>
    <t xml:space="preserve">2+</t>
  </si>
  <si>
    <t xml:space="preserve">Any response counts</t>
  </si>
  <si>
    <t xml:space="preserve">Positive replies</t>
  </si>
  <si>
    <t xml:space="preserve">1+</t>
  </si>
  <si>
    <t xml:space="preserve">Interested / want sample</t>
  </si>
  <si>
    <t xml:space="preserve">Calls booked</t>
  </si>
  <si>
    <t xml:space="preserve">1</t>
  </si>
  <si>
    <t xml:space="preserve">Pilot conversations open</t>
  </si>
  <si>
    <t xml:space="preserve">Paid conversions</t>
  </si>
  <si>
    <t xml:space="preserve">TBD</t>
  </si>
  <si>
    <t xml:space="preserve">Not expected Week 1</t>
  </si>
  <si>
    <t xml:space="preserve">Pipeline runs (automated)</t>
  </si>
  <si>
    <t xml:space="preserve">7</t>
  </si>
  <si>
    <t xml:space="preserve">07:00 daily via Task Scheduler</t>
  </si>
  <si>
    <t xml:space="preserve">Discord alerts delivered</t>
  </si>
  <si>
    <t xml:space="preserve">3+</t>
  </si>
  <si>
    <t xml:space="preserve">Depends on new tender volume</t>
  </si>
  <si>
    <t xml:space="preserve">Feedback items collected</t>
  </si>
  <si>
    <t xml:space="preserve">Relevant / irrelevant / value fit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</si>
</sst>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0D1B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D1B2A"/>
      <name val="Arial"/>
      <family val="0"/>
      <charset val="1"/>
    </font>
    <font>
      <sz val="9"/>
      <color rgb="FF0D1B2A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D1B2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D6E8FF"/>
        <bgColor rgb="FFF2F4F7"/>
      </patternFill>
    </fill>
    <fill>
      <patternFill patternType="solid">
        <fgColor rgb="FF1E6FE8"/>
        <bgColor rgb="FF0066CC"/>
      </patternFill>
    </fill>
    <fill>
      <patternFill patternType="solid">
        <fgColor rgb="FFFFFFFF"/>
        <bgColor rgb="FFF2F4F7"/>
      </patternFill>
    </fill>
    <fill>
      <patternFill patternType="solid">
        <fgColor rgb="FFD97706"/>
        <bgColor rgb="FFFF9900"/>
      </patternFill>
    </fill>
    <fill>
      <patternFill patternType="solid">
        <fgColor rgb="FFF2F4F7"/>
        <bgColor rgb="FFFFFFFF"/>
      </patternFill>
    </fill>
    <fill>
      <patternFill patternType="solid">
        <fgColor rgb="FF1A7F4B"/>
        <bgColor rgb="FF008080"/>
      </patternFill>
    </fill>
    <fill>
      <patternFill patternType="solid">
        <fgColor rgb="FF888888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4B"/>
      <rgbColor rgb="FFC0C0C0"/>
      <rgbColor rgb="FF888888"/>
      <rgbColor rgb="FF9999FF"/>
      <rgbColor rgb="FF993366"/>
      <rgbColor rgb="FFF2F4F7"/>
      <rgbColor rgb="FFD6E8FF"/>
      <rgbColor rgb="FF660066"/>
      <rgbColor rgb="FFFF8080"/>
      <rgbColor rgb="FF0066CC"/>
      <rgbColor rgb="FFC8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6FE8"/>
      <rgbColor rgb="FF33CCCC"/>
      <rgbColor rgb="FF99CC00"/>
      <rgbColor rgb="FFFFCC00"/>
      <rgbColor rgb="FFFF9900"/>
      <rgbColor rgb="FFD97706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20"/>
    <col collapsed="false" customWidth="true" hidden="false" outlineLevel="0" max="5" min="5" style="0" width="30"/>
    <col collapsed="false" customWidth="true" hidden="false" outlineLevel="0" max="7" min="6" style="0" width="16"/>
    <col collapsed="false" customWidth="true" hidden="false" outlineLevel="0" max="8" min="8" style="0" width="32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5" min="11" style="0" width="9"/>
    <col collapsed="false" customWidth="true" hidden="false" outlineLevel="0" max="16" min="16" style="0" width="11"/>
    <col collapsed="false" customWidth="true" hidden="false" outlineLevel="0" max="18" min="17" style="0" width="10"/>
    <col collapsed="false" customWidth="true" hidden="false" outlineLevel="0" max="19" min="19" style="0" width="14"/>
    <col collapsed="false" customWidth="true" hidden="false" outlineLevel="0" max="20" min="20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customFormat="false" ht="21.75" hidden="false" customHeight="true" outlineLevel="0" collapsed="false">
      <c r="A4" s="4" t="n">
        <v>1</v>
      </c>
      <c r="B4" s="5" t="s">
        <v>22</v>
      </c>
      <c r="C4" s="5" t="s">
        <v>23</v>
      </c>
      <c r="D4" s="5" t="s">
        <v>24</v>
      </c>
      <c r="E4" s="5" t="s">
        <v>25</v>
      </c>
      <c r="F4" s="4" t="s">
        <v>26</v>
      </c>
      <c r="G4" s="4" t="s">
        <v>27</v>
      </c>
      <c r="H4" s="5" t="s">
        <v>28</v>
      </c>
      <c r="I4" s="5" t="s">
        <v>29</v>
      </c>
      <c r="J4" s="4" t="s">
        <v>30</v>
      </c>
      <c r="K4" s="4" t="n">
        <v>25</v>
      </c>
      <c r="L4" s="4" t="n">
        <v>15</v>
      </c>
      <c r="M4" s="4" t="n">
        <v>15</v>
      </c>
      <c r="N4" s="4" t="n">
        <v>10</v>
      </c>
      <c r="O4" s="4" t="n">
        <v>15</v>
      </c>
      <c r="P4" s="3" t="n">
        <f aca="false">SUM(K4:O4)</f>
        <v>80</v>
      </c>
      <c r="Q4" s="6" t="str">
        <f aca="false">IF(P4&gt;=70,"A",IF(P4&gt;=55,"B","C"))</f>
        <v>A</v>
      </c>
      <c r="R4" s="4" t="s">
        <v>31</v>
      </c>
      <c r="S4" s="4" t="s">
        <v>32</v>
      </c>
      <c r="T4" s="7" t="s">
        <v>33</v>
      </c>
    </row>
    <row r="5" customFormat="false" ht="21.75" hidden="false" customHeight="true" outlineLevel="0" collapsed="false">
      <c r="A5" s="8" t="n">
        <v>2</v>
      </c>
      <c r="B5" s="9" t="s">
        <v>34</v>
      </c>
      <c r="C5" s="9" t="s">
        <v>23</v>
      </c>
      <c r="D5" s="9" t="s">
        <v>35</v>
      </c>
      <c r="E5" s="9" t="s">
        <v>25</v>
      </c>
      <c r="F5" s="8" t="s">
        <v>36</v>
      </c>
      <c r="G5" s="8" t="s">
        <v>27</v>
      </c>
      <c r="H5" s="9" t="s">
        <v>37</v>
      </c>
      <c r="I5" s="9" t="s">
        <v>38</v>
      </c>
      <c r="J5" s="8" t="s">
        <v>39</v>
      </c>
      <c r="K5" s="8" t="n">
        <v>28</v>
      </c>
      <c r="L5" s="8" t="n">
        <v>15</v>
      </c>
      <c r="M5" s="8" t="n">
        <v>18</v>
      </c>
      <c r="N5" s="8" t="n">
        <v>12</v>
      </c>
      <c r="O5" s="8" t="n">
        <v>14</v>
      </c>
      <c r="P5" s="3" t="n">
        <f aca="false">SUM(K5:O5)</f>
        <v>87</v>
      </c>
      <c r="Q5" s="6" t="str">
        <f aca="false">IF(P5&gt;=70,"A",IF(P5&gt;=55,"B","C"))</f>
        <v>A</v>
      </c>
      <c r="R5" s="8" t="s">
        <v>31</v>
      </c>
      <c r="S5" s="8" t="s">
        <v>32</v>
      </c>
      <c r="T5" s="10" t="s">
        <v>33</v>
      </c>
    </row>
    <row r="6" customFormat="false" ht="21.75" hidden="false" customHeight="true" outlineLevel="0" collapsed="false">
      <c r="A6" s="4" t="n">
        <v>3</v>
      </c>
      <c r="B6" s="5" t="s">
        <v>40</v>
      </c>
      <c r="C6" s="5" t="s">
        <v>23</v>
      </c>
      <c r="D6" s="5" t="s">
        <v>41</v>
      </c>
      <c r="E6" s="5" t="s">
        <v>25</v>
      </c>
      <c r="F6" s="4" t="s">
        <v>42</v>
      </c>
      <c r="G6" s="4" t="s">
        <v>43</v>
      </c>
      <c r="H6" s="5" t="s">
        <v>44</v>
      </c>
      <c r="I6" s="5" t="s">
        <v>45</v>
      </c>
      <c r="J6" s="4" t="s">
        <v>46</v>
      </c>
      <c r="K6" s="4" t="n">
        <v>25</v>
      </c>
      <c r="L6" s="4" t="n">
        <v>18</v>
      </c>
      <c r="M6" s="4" t="n">
        <v>16</v>
      </c>
      <c r="N6" s="4" t="n">
        <v>10</v>
      </c>
      <c r="O6" s="4" t="n">
        <v>12</v>
      </c>
      <c r="P6" s="3" t="n">
        <f aca="false">SUM(K6:O6)</f>
        <v>81</v>
      </c>
      <c r="Q6" s="6" t="str">
        <f aca="false">IF(P6&gt;=70,"A",IF(P6&gt;=55,"B","C"))</f>
        <v>A</v>
      </c>
      <c r="R6" s="4" t="s">
        <v>31</v>
      </c>
      <c r="S6" s="4" t="s">
        <v>32</v>
      </c>
      <c r="T6" s="7" t="s">
        <v>33</v>
      </c>
    </row>
    <row r="7" customFormat="false" ht="21.75" hidden="false" customHeight="true" outlineLevel="0" collapsed="false">
      <c r="A7" s="8" t="n">
        <v>4</v>
      </c>
      <c r="B7" s="9"/>
      <c r="C7" s="9"/>
      <c r="D7" s="9"/>
      <c r="E7" s="9"/>
      <c r="F7" s="8"/>
      <c r="G7" s="8"/>
      <c r="H7" s="9"/>
      <c r="I7" s="9"/>
      <c r="J7" s="8"/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3" t="n">
        <f aca="false">SUM(K7:O7)</f>
        <v>0</v>
      </c>
      <c r="Q7" s="6" t="str">
        <f aca="false">IF(P7&gt;=70,"A",IF(P7&gt;=55,"B","C"))</f>
        <v>C</v>
      </c>
      <c r="R7" s="8"/>
      <c r="S7" s="8"/>
      <c r="T7" s="10"/>
    </row>
    <row r="8" customFormat="false" ht="21.75" hidden="false" customHeight="true" outlineLevel="0" collapsed="false">
      <c r="A8" s="4" t="n">
        <v>5</v>
      </c>
      <c r="B8" s="5"/>
      <c r="C8" s="5"/>
      <c r="D8" s="5"/>
      <c r="E8" s="5"/>
      <c r="F8" s="4"/>
      <c r="G8" s="4"/>
      <c r="H8" s="5"/>
      <c r="I8" s="5"/>
      <c r="J8" s="4"/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3" t="n">
        <f aca="false">SUM(K8:O8)</f>
        <v>0</v>
      </c>
      <c r="Q8" s="6" t="str">
        <f aca="false">IF(P8&gt;=70,"A",IF(P8&gt;=55,"B","C"))</f>
        <v>C</v>
      </c>
      <c r="R8" s="4"/>
      <c r="S8" s="4"/>
      <c r="T8" s="7"/>
    </row>
    <row r="9" customFormat="false" ht="21.75" hidden="false" customHeight="true" outlineLevel="0" collapsed="false">
      <c r="A9" s="8" t="n">
        <v>6</v>
      </c>
      <c r="B9" s="9"/>
      <c r="C9" s="9"/>
      <c r="D9" s="9"/>
      <c r="E9" s="9"/>
      <c r="F9" s="8"/>
      <c r="G9" s="8"/>
      <c r="H9" s="9"/>
      <c r="I9" s="9"/>
      <c r="J9" s="8"/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3" t="n">
        <f aca="false">SUM(K9:O9)</f>
        <v>0</v>
      </c>
      <c r="Q9" s="6" t="str">
        <f aca="false">IF(P9&gt;=70,"A",IF(P9&gt;=55,"B","C"))</f>
        <v>C</v>
      </c>
      <c r="R9" s="8"/>
      <c r="S9" s="8"/>
      <c r="T9" s="10"/>
    </row>
    <row r="10" customFormat="false" ht="21.75" hidden="false" customHeight="true" outlineLevel="0" collapsed="false">
      <c r="A10" s="4" t="n">
        <v>7</v>
      </c>
      <c r="B10" s="5"/>
      <c r="C10" s="5"/>
      <c r="D10" s="5"/>
      <c r="E10" s="5"/>
      <c r="F10" s="4"/>
      <c r="G10" s="4"/>
      <c r="H10" s="5"/>
      <c r="I10" s="5"/>
      <c r="J10" s="4"/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3" t="n">
        <f aca="false">SUM(K10:O10)</f>
        <v>0</v>
      </c>
      <c r="Q10" s="6" t="str">
        <f aca="false">IF(P10&gt;=70,"A",IF(P10&gt;=55,"B","C"))</f>
        <v>C</v>
      </c>
      <c r="R10" s="4"/>
      <c r="S10" s="4"/>
      <c r="T10" s="7"/>
    </row>
    <row r="11" customFormat="false" ht="21.75" hidden="false" customHeight="true" outlineLevel="0" collapsed="false">
      <c r="A11" s="8" t="n">
        <v>8</v>
      </c>
      <c r="B11" s="9"/>
      <c r="C11" s="9"/>
      <c r="D11" s="9"/>
      <c r="E11" s="9"/>
      <c r="F11" s="8"/>
      <c r="G11" s="8"/>
      <c r="H11" s="9"/>
      <c r="I11" s="9"/>
      <c r="J11" s="8"/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3" t="n">
        <f aca="false">SUM(K11:O11)</f>
        <v>0</v>
      </c>
      <c r="Q11" s="6" t="str">
        <f aca="false">IF(P11&gt;=70,"A",IF(P11&gt;=55,"B","C"))</f>
        <v>C</v>
      </c>
      <c r="R11" s="8"/>
      <c r="S11" s="8"/>
      <c r="T11" s="10"/>
    </row>
    <row r="12" customFormat="false" ht="21.75" hidden="false" customHeight="true" outlineLevel="0" collapsed="false">
      <c r="A12" s="4" t="n">
        <v>9</v>
      </c>
      <c r="B12" s="5"/>
      <c r="C12" s="5"/>
      <c r="D12" s="5"/>
      <c r="E12" s="5"/>
      <c r="F12" s="4"/>
      <c r="G12" s="4"/>
      <c r="H12" s="5"/>
      <c r="I12" s="5"/>
      <c r="J12" s="4"/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3" t="n">
        <f aca="false">SUM(K12:O12)</f>
        <v>0</v>
      </c>
      <c r="Q12" s="6" t="str">
        <f aca="false">IF(P12&gt;=70,"A",IF(P12&gt;=55,"B","C"))</f>
        <v>C</v>
      </c>
      <c r="R12" s="4"/>
      <c r="S12" s="4"/>
      <c r="T12" s="7"/>
    </row>
    <row r="13" customFormat="false" ht="21.75" hidden="false" customHeight="true" outlineLevel="0" collapsed="false">
      <c r="A13" s="8" t="n">
        <v>10</v>
      </c>
      <c r="B13" s="9"/>
      <c r="C13" s="9"/>
      <c r="D13" s="9"/>
      <c r="E13" s="9"/>
      <c r="F13" s="8"/>
      <c r="G13" s="8"/>
      <c r="H13" s="9"/>
      <c r="I13" s="9"/>
      <c r="J13" s="8"/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3" t="n">
        <f aca="false">SUM(K13:O13)</f>
        <v>0</v>
      </c>
      <c r="Q13" s="6" t="str">
        <f aca="false">IF(P13&gt;=70,"A",IF(P13&gt;=55,"B","C"))</f>
        <v>C</v>
      </c>
      <c r="R13" s="8"/>
      <c r="S13" s="8"/>
      <c r="T13" s="10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3" t="s">
        <v>47</v>
      </c>
      <c r="B1" s="3" t="s">
        <v>48</v>
      </c>
    </row>
    <row r="2" customFormat="false" ht="90" hidden="false" customHeight="true" outlineLevel="0" collapsed="false">
      <c r="A2" s="3" t="s">
        <v>49</v>
      </c>
      <c r="B2" s="11" t="s">
        <v>50</v>
      </c>
    </row>
    <row r="3" customFormat="false" ht="90" hidden="false" customHeight="true" outlineLevel="0" collapsed="false">
      <c r="A3" s="3" t="s">
        <v>51</v>
      </c>
      <c r="B3" s="11" t="s">
        <v>52</v>
      </c>
    </row>
    <row r="4" customFormat="false" ht="90" hidden="false" customHeight="true" outlineLevel="0" collapsed="false">
      <c r="A4" s="3" t="s">
        <v>53</v>
      </c>
      <c r="B4" s="11" t="s">
        <v>54</v>
      </c>
    </row>
    <row r="5" customFormat="false" ht="90" hidden="false" customHeight="true" outlineLevel="0" collapsed="false">
      <c r="A5" s="12" t="s">
        <v>55</v>
      </c>
      <c r="B5" s="11" t="s">
        <v>56</v>
      </c>
    </row>
    <row r="6" customFormat="false" ht="90" hidden="false" customHeight="true" outlineLevel="0" collapsed="false">
      <c r="A6" s="6" t="s">
        <v>57</v>
      </c>
      <c r="B6" s="11" t="s">
        <v>58</v>
      </c>
    </row>
    <row r="7" customFormat="false" ht="90" hidden="false" customHeight="true" outlineLevel="0" collapsed="false">
      <c r="A7" s="13" t="s">
        <v>59</v>
      </c>
      <c r="B7" s="1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4" t="s">
        <v>61</v>
      </c>
      <c r="B1" s="14"/>
      <c r="C1" s="14"/>
      <c r="D1" s="14"/>
      <c r="E1" s="14"/>
    </row>
    <row r="2" customFormat="false" ht="21.75" hidden="false" customHeight="true" outlineLevel="0" collapsed="false">
      <c r="A2" s="3" t="s">
        <v>62</v>
      </c>
      <c r="B2" s="3" t="s">
        <v>63</v>
      </c>
      <c r="C2" s="3" t="s">
        <v>64</v>
      </c>
      <c r="D2" s="3" t="s">
        <v>65</v>
      </c>
      <c r="E2" s="3" t="s">
        <v>21</v>
      </c>
    </row>
    <row r="3" customFormat="false" ht="19.5" hidden="false" customHeight="true" outlineLevel="0" collapsed="false">
      <c r="A3" s="15" t="s">
        <v>66</v>
      </c>
      <c r="B3" s="4" t="s">
        <v>67</v>
      </c>
      <c r="C3" s="4"/>
      <c r="D3" s="4"/>
      <c r="E3" s="5" t="s">
        <v>68</v>
      </c>
    </row>
    <row r="4" customFormat="false" ht="19.5" hidden="false" customHeight="true" outlineLevel="0" collapsed="false">
      <c r="A4" s="16" t="s">
        <v>69</v>
      </c>
      <c r="B4" s="8" t="s">
        <v>67</v>
      </c>
      <c r="C4" s="8"/>
      <c r="D4" s="8"/>
      <c r="E4" s="9" t="s">
        <v>70</v>
      </c>
    </row>
    <row r="5" customFormat="false" ht="19.5" hidden="false" customHeight="true" outlineLevel="0" collapsed="false">
      <c r="A5" s="15" t="s">
        <v>71</v>
      </c>
      <c r="B5" s="4" t="s">
        <v>72</v>
      </c>
      <c r="C5" s="4"/>
      <c r="D5" s="4"/>
      <c r="E5" s="5" t="s">
        <v>73</v>
      </c>
    </row>
    <row r="6" customFormat="false" ht="19.5" hidden="false" customHeight="true" outlineLevel="0" collapsed="false">
      <c r="A6" s="16" t="s">
        <v>74</v>
      </c>
      <c r="B6" s="8" t="s">
        <v>75</v>
      </c>
      <c r="C6" s="8"/>
      <c r="D6" s="8"/>
      <c r="E6" s="9" t="s">
        <v>76</v>
      </c>
    </row>
    <row r="7" customFormat="false" ht="19.5" hidden="false" customHeight="true" outlineLevel="0" collapsed="false">
      <c r="A7" s="15" t="s">
        <v>77</v>
      </c>
      <c r="B7" s="4" t="s">
        <v>78</v>
      </c>
      <c r="C7" s="4"/>
      <c r="D7" s="4"/>
      <c r="E7" s="5"/>
    </row>
    <row r="8" customFormat="false" ht="19.5" hidden="false" customHeight="true" outlineLevel="0" collapsed="false">
      <c r="A8" s="16" t="s">
        <v>79</v>
      </c>
      <c r="B8" s="8" t="s">
        <v>75</v>
      </c>
      <c r="C8" s="8"/>
      <c r="D8" s="8"/>
      <c r="E8" s="9"/>
    </row>
    <row r="9" customFormat="false" ht="19.5" hidden="false" customHeight="true" outlineLevel="0" collapsed="false">
      <c r="A9" s="15" t="s">
        <v>80</v>
      </c>
      <c r="B9" s="4" t="s">
        <v>81</v>
      </c>
      <c r="C9" s="4"/>
      <c r="D9" s="4"/>
      <c r="E9" s="5" t="s">
        <v>82</v>
      </c>
    </row>
    <row r="10" customFormat="false" ht="19.5" hidden="false" customHeight="true" outlineLevel="0" collapsed="false">
      <c r="A10" s="16" t="s">
        <v>83</v>
      </c>
      <c r="B10" s="8" t="s">
        <v>84</v>
      </c>
      <c r="C10" s="8"/>
      <c r="D10" s="8"/>
      <c r="E10" s="9" t="s">
        <v>85</v>
      </c>
    </row>
    <row r="11" customFormat="false" ht="19.5" hidden="false" customHeight="true" outlineLevel="0" collapsed="false">
      <c r="A11" s="15" t="s">
        <v>86</v>
      </c>
      <c r="B11" s="4" t="s">
        <v>87</v>
      </c>
      <c r="C11" s="4"/>
      <c r="D11" s="4"/>
      <c r="E11" s="5" t="s">
        <v>88</v>
      </c>
    </row>
    <row r="12" customFormat="false" ht="19.5" hidden="false" customHeight="true" outlineLevel="0" collapsed="false">
      <c r="A12" s="16" t="s">
        <v>89</v>
      </c>
      <c r="B12" s="8" t="s">
        <v>75</v>
      </c>
      <c r="C12" s="8"/>
      <c r="D12" s="8"/>
      <c r="E12" s="9" t="s">
        <v>90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2026-04-01T23:59:42Z</dcterms:created>
  <dc:creator>openpyxl</dc:creator>
  <dc:description/>
  <dc:language>en-US</dc:language>
  <cp:lastModifiedBy/>
  <dcterms:modified xsi:type="dcterms:W3CDTF">2026-04-01T23:59:42Z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